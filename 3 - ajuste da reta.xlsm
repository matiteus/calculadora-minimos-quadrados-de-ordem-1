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lura\"/>
    </mc:Choice>
  </mc:AlternateContent>
  <xr:revisionPtr revIDLastSave="0" documentId="13_ncr:1_{98400086-6EDE-4ACE-90F6-F3264DA70768}" xr6:coauthVersionLast="47" xr6:coauthVersionMax="47" xr10:uidLastSave="{00000000-0000-0000-0000-000000000000}"/>
  <bookViews>
    <workbookView xWindow="-120" yWindow="-120" windowWidth="29040" windowHeight="16440" activeTab="1" xr2:uid="{39D14199-E8C7-48E2-842C-330E50246350}"/>
  </bookViews>
  <sheets>
    <sheet name="Documentação" sheetId="3" r:id="rId1"/>
    <sheet name="Dados inserido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1" l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D34" i="1"/>
  <c r="E34" i="1"/>
  <c r="D33" i="1"/>
  <c r="E33" i="1"/>
  <c r="D32" i="1"/>
  <c r="E32" i="1"/>
  <c r="D31" i="1"/>
  <c r="E31" i="1"/>
  <c r="D30" i="1"/>
  <c r="E30" i="1"/>
  <c r="D29" i="1"/>
  <c r="E29" i="1"/>
  <c r="D28" i="1"/>
  <c r="E28" i="1"/>
  <c r="D27" i="1"/>
  <c r="E27" i="1"/>
  <c r="D26" i="1"/>
  <c r="E26" i="1"/>
  <c r="D25" i="1"/>
  <c r="E25" i="1"/>
  <c r="D24" i="1"/>
  <c r="E24" i="1"/>
  <c r="D23" i="1"/>
  <c r="D22" i="1"/>
  <c r="E23" i="1"/>
  <c r="E22" i="1"/>
  <c r="E21" i="1"/>
  <c r="M3" i="1"/>
  <c r="L27" i="1" s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A21" i="1"/>
  <c r="A20" i="1"/>
  <c r="A19" i="1"/>
  <c r="A18" i="1"/>
  <c r="A2" i="1"/>
  <c r="A3" i="1" s="1"/>
  <c r="A4" i="1" s="1"/>
  <c r="A5" i="1" s="1"/>
  <c r="A6" i="1" s="1"/>
  <c r="A7" i="1" s="1"/>
  <c r="A8" i="1" s="1"/>
  <c r="A10" i="1" s="1"/>
  <c r="A11" i="1" s="1"/>
  <c r="A12" i="1" s="1"/>
  <c r="A13" i="1" s="1"/>
  <c r="A14" i="1" s="1"/>
  <c r="A15" i="1" s="1"/>
  <c r="A16" i="1" s="1"/>
  <c r="A17" i="1" s="1"/>
  <c r="M4" i="1" l="1"/>
  <c r="A9" i="1"/>
  <c r="M1" i="1"/>
  <c r="M6" i="1" s="1"/>
  <c r="M5" i="1"/>
  <c r="L28" i="1" l="1"/>
  <c r="P28" i="1" s="1"/>
  <c r="L17" i="1"/>
  <c r="M2" i="1"/>
  <c r="N17" i="1" s="1"/>
  <c r="L18" i="1"/>
  <c r="I4" i="1" l="1"/>
  <c r="J4" i="1" s="1"/>
  <c r="I3" i="1"/>
  <c r="J3" i="1" s="1"/>
  <c r="I2" i="1"/>
  <c r="J2" i="1" s="1"/>
  <c r="I6" i="1"/>
  <c r="J6" i="1" s="1"/>
  <c r="I5" i="1"/>
  <c r="J5" i="1" s="1"/>
  <c r="P17" i="1"/>
  <c r="N18" i="1"/>
  <c r="P18" i="1" s="1"/>
  <c r="L20" i="1" s="1"/>
  <c r="M8" i="1" l="1"/>
  <c r="N27" i="1"/>
  <c r="P27" i="1" s="1"/>
  <c r="L30" i="1" s="1"/>
  <c r="R6" i="1" l="1"/>
  <c r="T6" i="1"/>
  <c r="U6" i="1"/>
  <c r="F2" i="1" s="1"/>
  <c r="G2" i="1" s="1"/>
  <c r="H2" i="1" s="1"/>
  <c r="F34" i="1" l="1"/>
  <c r="G34" i="1" s="1"/>
  <c r="F3" i="1"/>
  <c r="F33" i="1"/>
  <c r="G33" i="1" s="1"/>
  <c r="F32" i="1"/>
  <c r="G32" i="1" s="1"/>
  <c r="F31" i="1"/>
  <c r="G31" i="1" s="1"/>
  <c r="F29" i="1"/>
  <c r="G29" i="1" s="1"/>
  <c r="F30" i="1"/>
  <c r="G30" i="1" s="1"/>
  <c r="F28" i="1"/>
  <c r="G28" i="1" s="1"/>
  <c r="F27" i="1"/>
  <c r="G27" i="1" s="1"/>
  <c r="F26" i="1"/>
  <c r="G26" i="1" s="1"/>
  <c r="F25" i="1"/>
  <c r="G25" i="1" s="1"/>
  <c r="F24" i="1"/>
  <c r="G24" i="1" s="1"/>
  <c r="F23" i="1"/>
  <c r="G23" i="1" s="1"/>
  <c r="F22" i="1"/>
  <c r="G22" i="1" s="1"/>
  <c r="F21" i="1"/>
  <c r="G21" i="1" s="1"/>
  <c r="F20" i="1"/>
  <c r="G20" i="1" s="1"/>
  <c r="F19" i="1"/>
  <c r="G19" i="1" s="1"/>
  <c r="F18" i="1"/>
  <c r="G18" i="1" s="1"/>
  <c r="F17" i="1"/>
  <c r="G17" i="1" s="1"/>
  <c r="F16" i="1"/>
  <c r="G16" i="1" s="1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4" i="1"/>
  <c r="G4" i="1" s="1"/>
  <c r="H4" i="1" s="1"/>
  <c r="F8" i="1"/>
  <c r="G8" i="1" s="1"/>
  <c r="G3" i="1"/>
  <c r="H3" i="1" s="1"/>
  <c r="F5" i="1"/>
  <c r="G5" i="1" s="1"/>
  <c r="H5" i="1" s="1"/>
  <c r="F6" i="1"/>
  <c r="G6" i="1" s="1"/>
  <c r="H6" i="1" s="1"/>
  <c r="F7" i="1"/>
  <c r="G7" i="1" s="1"/>
  <c r="M7" i="1" l="1"/>
  <c r="M9" i="1" s="1"/>
</calcChain>
</file>

<file path=xl/sharedStrings.xml><?xml version="1.0" encoding="utf-8"?>
<sst xmlns="http://schemas.openxmlformats.org/spreadsheetml/2006/main" count="40" uniqueCount="35">
  <si>
    <t>I</t>
  </si>
  <si>
    <t>Xi</t>
  </si>
  <si>
    <t>Yi</t>
  </si>
  <si>
    <t>X²</t>
  </si>
  <si>
    <t>Xi*Yi</t>
  </si>
  <si>
    <t xml:space="preserve">Somatório de X = </t>
  </si>
  <si>
    <t xml:space="preserve">Somatório de Y = </t>
  </si>
  <si>
    <t>Somatório de X² =</t>
  </si>
  <si>
    <t>Somatório de X*Y =</t>
  </si>
  <si>
    <t>Número de dados =</t>
  </si>
  <si>
    <t xml:space="preserve">a = </t>
  </si>
  <si>
    <t>-</t>
  </si>
  <si>
    <t>=</t>
  </si>
  <si>
    <t xml:space="preserve">b = </t>
  </si>
  <si>
    <t>y=</t>
  </si>
  <si>
    <t>x</t>
  </si>
  <si>
    <t>Fórmula da reta</t>
  </si>
  <si>
    <t>Y calc</t>
  </si>
  <si>
    <t>Yi - Ycalc</t>
  </si>
  <si>
    <t>(Yi - Ycalc)²</t>
  </si>
  <si>
    <t>Yi - Yméd</t>
  </si>
  <si>
    <t>(Yi - Yméd)²</t>
  </si>
  <si>
    <t>Y médio =</t>
  </si>
  <si>
    <t xml:space="preserve">SQE = </t>
  </si>
  <si>
    <t xml:space="preserve">SQT = </t>
  </si>
  <si>
    <t xml:space="preserve">R² = </t>
  </si>
  <si>
    <t>A tabela calcula tudo automaticamente e aceita N valores, estão definidas as fórmulas para 20 valores, porém valores  calculados na linha M,</t>
  </si>
  <si>
    <t>calculam sobre toda a tabela. Para calcular valores das tabelas além de 20 termos, apenas copie a fórmula da linha para as celulas sequentes</t>
  </si>
  <si>
    <t>Para limpar a tabela, clique nesse botão</t>
  </si>
  <si>
    <t>Apenas insira valores nas colunas B e C</t>
  </si>
  <si>
    <t>Caso a ocorra algum erro, verifique se foi usado virgula ao invés de ponto para casas decimais</t>
  </si>
  <si>
    <t>Em caso de vírgula, o excel considera o valor como texto, e não como número, não realizando as operações matemáticas</t>
  </si>
  <si>
    <t>Utilize esse botão para fazer substituição em massa de vírgulas por pontos.</t>
  </si>
  <si>
    <t>Feito por</t>
  </si>
  <si>
    <t>Matheus Jurak Sanaiotto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</si>
</sst>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7" borderId="0" xfId="0" applyFill="1"/>
    <xf numFmtId="0" fontId="0" fillId="3" borderId="1" xfId="0" applyFill="1" applyBorder="1"/>
    <xf numFmtId="0" fontId="0" fillId="4" borderId="1" xfId="0" applyFill="1" applyBorder="1"/>
    <xf numFmtId="0" fontId="0" fillId="7" borderId="1" xfId="0" applyFill="1" applyBorder="1"/>
    <xf numFmtId="0" fontId="0" fillId="6" borderId="1" xfId="0" applyFill="1" applyBorder="1"/>
    <xf numFmtId="0" fontId="0" fillId="5" borderId="1" xfId="0" applyFill="1" applyBorder="1"/>
    <xf numFmtId="0" fontId="1" fillId="3" borderId="1" xfId="0" applyFont="1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0" borderId="0" xfId="0" applyNumberFormat="1"/>
    <xf numFmtId="0" fontId="0" fillId="8" borderId="3" xfId="0" applyFill="1" applyBorder="1" applyAlignment="1">
      <alignment vertical="center"/>
    </xf>
    <xf numFmtId="164" fontId="0" fillId="8" borderId="6" xfId="0" applyNumberFormat="1" applyFill="1" applyBorder="1" applyAlignment="1">
      <alignment vertical="center"/>
    </xf>
    <xf numFmtId="0" fontId="0" fillId="8" borderId="6" xfId="0" applyFill="1" applyBorder="1" applyAlignment="1">
      <alignment vertical="center"/>
    </xf>
    <xf numFmtId="0" fontId="0" fillId="8" borderId="6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14" borderId="1" xfId="0" applyFill="1" applyBorder="1"/>
    <xf numFmtId="0" fontId="0" fillId="12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165" fontId="0" fillId="10" borderId="1" xfId="0" applyNumberFormat="1" applyFill="1" applyBorder="1" applyAlignment="1">
      <alignment horizontal="left" vertical="center"/>
    </xf>
    <xf numFmtId="164" fontId="0" fillId="8" borderId="4" xfId="0" applyNumberFormat="1" applyFill="1" applyBorder="1" applyAlignment="1">
      <alignment horizontal="left" vertical="center"/>
    </xf>
    <xf numFmtId="0" fontId="0" fillId="0" borderId="0" xfId="0" applyAlignment="1">
      <alignment vertical="top"/>
    </xf>
    <xf numFmtId="0" fontId="0" fillId="7" borderId="0" xfId="0" applyFill="1" applyAlignment="1">
      <alignment vertical="top"/>
    </xf>
    <xf numFmtId="0" fontId="0" fillId="10" borderId="1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6" borderId="11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19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7" xfId="0" applyFill="1" applyBorder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18" xfId="0" applyFill="1" applyBorder="1" applyAlignment="1">
      <alignment horizontal="left" vertical="top"/>
    </xf>
    <xf numFmtId="0" fontId="0" fillId="8" borderId="8" xfId="0" applyFill="1" applyBorder="1" applyAlignment="1">
      <alignment horizontal="center" vertical="top"/>
    </xf>
    <xf numFmtId="0" fontId="0" fillId="8" borderId="5" xfId="0" applyFill="1" applyBorder="1" applyAlignment="1">
      <alignment horizontal="center" vertical="top"/>
    </xf>
    <xf numFmtId="0" fontId="0" fillId="8" borderId="9" xfId="0" applyFill="1" applyBorder="1" applyAlignment="1">
      <alignment horizontal="center" vertical="top"/>
    </xf>
    <xf numFmtId="0" fontId="0" fillId="8" borderId="17" xfId="0" applyFill="1" applyBorder="1" applyAlignment="1">
      <alignment horizontal="center" vertical="top"/>
    </xf>
    <xf numFmtId="0" fontId="0" fillId="8" borderId="7" xfId="0" applyFill="1" applyBorder="1" applyAlignment="1">
      <alignment horizontal="center" vertical="top"/>
    </xf>
    <xf numFmtId="0" fontId="0" fillId="8" borderId="18" xfId="0" applyFill="1" applyBorder="1" applyAlignment="1">
      <alignment horizontal="center" vertical="top"/>
    </xf>
    <xf numFmtId="0" fontId="0" fillId="10" borderId="3" xfId="0" applyFill="1" applyBorder="1" applyAlignment="1">
      <alignment horizontal="center" vertical="top"/>
    </xf>
    <xf numFmtId="0" fontId="0" fillId="10" borderId="6" xfId="0" applyFill="1" applyBorder="1" applyAlignment="1">
      <alignment horizontal="center" vertical="top"/>
    </xf>
    <xf numFmtId="0" fontId="0" fillId="10" borderId="4" xfId="0" applyFill="1" applyBorder="1" applyAlignment="1">
      <alignment horizontal="center" vertical="top"/>
    </xf>
    <xf numFmtId="0" fontId="0" fillId="9" borderId="8" xfId="0" applyFill="1" applyBorder="1" applyAlignment="1">
      <alignment horizontal="center" vertical="top"/>
    </xf>
    <xf numFmtId="0" fontId="0" fillId="9" borderId="5" xfId="0" applyFill="1" applyBorder="1" applyAlignment="1">
      <alignment horizontal="center" vertical="top"/>
    </xf>
    <xf numFmtId="0" fontId="0" fillId="9" borderId="9" xfId="0" applyFill="1" applyBorder="1" applyAlignment="1">
      <alignment horizontal="center" vertical="top"/>
    </xf>
    <xf numFmtId="0" fontId="0" fillId="9" borderId="11" xfId="0" applyFill="1" applyBorder="1" applyAlignment="1">
      <alignment horizontal="center" vertical="top"/>
    </xf>
    <xf numFmtId="0" fontId="0" fillId="9" borderId="0" xfId="0" applyFill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0" fontId="0" fillId="9" borderId="17" xfId="0" applyFill="1" applyBorder="1" applyAlignment="1">
      <alignment horizontal="center" vertical="top"/>
    </xf>
    <xf numFmtId="0" fontId="0" fillId="9" borderId="7" xfId="0" applyFill="1" applyBorder="1" applyAlignment="1">
      <alignment horizontal="center" vertical="top"/>
    </xf>
    <xf numFmtId="0" fontId="0" fillId="9" borderId="18" xfId="0" applyFill="1" applyBorder="1" applyAlignment="1">
      <alignment horizontal="center" vertical="top"/>
    </xf>
    <xf numFmtId="0" fontId="0" fillId="9" borderId="3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164" fontId="0" fillId="13" borderId="1" xfId="0" applyNumberFormat="1" applyFill="1" applyBorder="1" applyAlignment="1">
      <alignment horizontal="center" vertical="center"/>
    </xf>
    <xf numFmtId="0" fontId="0" fillId="12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right" vertical="center"/>
    </xf>
    <xf numFmtId="0" fontId="0" fillId="10" borderId="1" xfId="0" applyFill="1" applyBorder="1" applyAlignment="1">
      <alignment horizontal="right" vertical="center"/>
    </xf>
    <xf numFmtId="0" fontId="0" fillId="11" borderId="1" xfId="0" applyFill="1" applyBorder="1" applyAlignment="1">
      <alignment horizontal="right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164" fontId="0" fillId="10" borderId="20" xfId="0" applyNumberFormat="1" applyFill="1" applyBorder="1" applyAlignment="1">
      <alignment horizontal="center" vertical="center"/>
    </xf>
    <xf numFmtId="164" fontId="0" fillId="10" borderId="21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6</xdr:row>
          <xdr:rowOff>161925</xdr:rowOff>
        </xdr:from>
        <xdr:to>
          <xdr:col>3</xdr:col>
          <xdr:colOff>457200</xdr:colOff>
          <xdr:row>11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dados inseridos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180975</xdr:rowOff>
        </xdr:from>
        <xdr:to>
          <xdr:col>13</xdr:col>
          <xdr:colOff>600075</xdr:colOff>
          <xdr:row>10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Trocar Vírgulas por Pontos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502</xdr:colOff>
      <xdr:row>10</xdr:row>
      <xdr:rowOff>166937</xdr:rowOff>
    </xdr:from>
    <xdr:ext cx="1905266" cy="914528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67483" y="6492975"/>
          <a:ext cx="1905266" cy="914528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21</xdr:row>
      <xdr:rowOff>133350</xdr:rowOff>
    </xdr:from>
    <xdr:ext cx="1543265" cy="647790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63875" y="3354304"/>
          <a:ext cx="1543265" cy="64779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7AE21-B43D-4B54-927B-E240023FD79D}">
  <sheetPr codeName="Planilha1"/>
  <dimension ref="A1:R20"/>
  <sheetViews>
    <sheetView workbookViewId="0">
      <selection activeCell="A20" sqref="A20:C20"/>
    </sheetView>
  </sheetViews>
  <sheetFormatPr defaultRowHeight="15" x14ac:dyDescent="0.25"/>
  <sheetData>
    <row r="1" spans="1:18" x14ac:dyDescent="0.25">
      <c r="A1" s="43" t="s">
        <v>26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5"/>
    </row>
    <row r="2" spans="1:18" x14ac:dyDescent="0.25">
      <c r="A2" s="46" t="s">
        <v>27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/>
    </row>
    <row r="3" spans="1:18" x14ac:dyDescent="0.25">
      <c r="A3" s="28"/>
      <c r="B3" s="28"/>
      <c r="C3" s="28"/>
      <c r="D3" s="28"/>
      <c r="E3" s="28"/>
      <c r="F3" s="28"/>
      <c r="G3" s="28"/>
    </row>
    <row r="4" spans="1:18" x14ac:dyDescent="0.25">
      <c r="A4" s="31" t="s">
        <v>29</v>
      </c>
      <c r="B4" s="32"/>
      <c r="C4" s="32"/>
      <c r="D4" s="33"/>
      <c r="E4" s="28"/>
      <c r="F4" s="28"/>
      <c r="G4" s="37" t="s">
        <v>30</v>
      </c>
      <c r="H4" s="38"/>
      <c r="I4" s="38"/>
      <c r="J4" s="38"/>
      <c r="K4" s="38"/>
      <c r="L4" s="38"/>
      <c r="M4" s="38"/>
      <c r="N4" s="38"/>
      <c r="O4" s="38"/>
      <c r="P4" s="38"/>
      <c r="Q4" s="38"/>
      <c r="R4" s="39"/>
    </row>
    <row r="5" spans="1:18" x14ac:dyDescent="0.25">
      <c r="A5" s="28"/>
      <c r="B5" s="28"/>
      <c r="C5" s="28"/>
      <c r="D5" s="28"/>
      <c r="E5" s="28"/>
      <c r="F5" s="28"/>
      <c r="G5" s="34" t="s">
        <v>31</v>
      </c>
      <c r="H5" s="35"/>
      <c r="I5" s="35"/>
      <c r="J5" s="35"/>
      <c r="K5" s="35"/>
      <c r="L5" s="35"/>
      <c r="M5" s="35"/>
      <c r="N5" s="35"/>
      <c r="O5" s="35"/>
      <c r="P5" s="35"/>
      <c r="Q5" s="35"/>
      <c r="R5" s="36"/>
    </row>
    <row r="6" spans="1:18" x14ac:dyDescent="0.25">
      <c r="A6" s="49" t="s">
        <v>28</v>
      </c>
      <c r="B6" s="50"/>
      <c r="C6" s="50"/>
      <c r="D6" s="51"/>
      <c r="E6" s="28"/>
      <c r="F6" s="28"/>
      <c r="G6" s="40" t="s">
        <v>32</v>
      </c>
      <c r="H6" s="41"/>
      <c r="I6" s="41"/>
      <c r="J6" s="41"/>
      <c r="K6" s="41"/>
      <c r="L6" s="41"/>
      <c r="M6" s="41"/>
      <c r="N6" s="41"/>
      <c r="O6" s="41"/>
      <c r="P6" s="41"/>
      <c r="Q6" s="41"/>
      <c r="R6" s="42"/>
    </row>
    <row r="7" spans="1:18" x14ac:dyDescent="0.25">
      <c r="A7" s="52"/>
      <c r="B7" s="53"/>
      <c r="C7" s="53"/>
      <c r="D7" s="54"/>
      <c r="E7" s="28"/>
      <c r="F7" s="28"/>
      <c r="G7" s="29"/>
      <c r="H7" s="1"/>
      <c r="I7" s="1"/>
      <c r="J7" s="1"/>
      <c r="K7" s="1"/>
      <c r="N7" s="1"/>
      <c r="O7" s="1"/>
      <c r="P7" s="1"/>
      <c r="Q7" s="1"/>
      <c r="R7" s="1"/>
    </row>
    <row r="8" spans="1:18" x14ac:dyDescent="0.25">
      <c r="A8" s="55"/>
      <c r="B8" s="56"/>
      <c r="C8" s="56"/>
      <c r="D8" s="57"/>
      <c r="E8" s="28"/>
      <c r="F8" s="28"/>
      <c r="G8" s="29"/>
      <c r="H8" s="1"/>
      <c r="I8" s="1"/>
      <c r="J8" s="1"/>
      <c r="K8" s="1"/>
      <c r="N8" s="1"/>
      <c r="O8" s="1"/>
      <c r="P8" s="1"/>
      <c r="Q8" s="1"/>
      <c r="R8" s="1"/>
    </row>
    <row r="9" spans="1:18" x14ac:dyDescent="0.25">
      <c r="A9" s="55"/>
      <c r="B9" s="56"/>
      <c r="C9" s="56"/>
      <c r="D9" s="57"/>
      <c r="E9" s="28"/>
      <c r="F9" s="28"/>
      <c r="G9" s="29"/>
      <c r="H9" s="1"/>
      <c r="I9" s="1"/>
      <c r="J9" s="1"/>
      <c r="K9" s="1"/>
      <c r="N9" s="1"/>
      <c r="O9" s="1"/>
      <c r="P9" s="1"/>
      <c r="Q9" s="1"/>
      <c r="R9" s="1"/>
    </row>
    <row r="10" spans="1:18" x14ac:dyDescent="0.25">
      <c r="A10" s="55"/>
      <c r="B10" s="56"/>
      <c r="C10" s="56"/>
      <c r="D10" s="57"/>
      <c r="G10" s="1"/>
      <c r="H10" s="1"/>
      <c r="I10" s="1"/>
      <c r="J10" s="1"/>
      <c r="K10" s="1"/>
      <c r="N10" s="1"/>
      <c r="O10" s="1"/>
      <c r="P10" s="1"/>
      <c r="Q10" s="1"/>
      <c r="R10" s="1"/>
    </row>
    <row r="11" spans="1:18" x14ac:dyDescent="0.25">
      <c r="A11" s="55"/>
      <c r="B11" s="56"/>
      <c r="C11" s="56"/>
      <c r="D11" s="57"/>
    </row>
    <row r="12" spans="1:18" x14ac:dyDescent="0.25">
      <c r="A12" s="55"/>
      <c r="B12" s="56"/>
      <c r="C12" s="56"/>
      <c r="D12" s="57"/>
    </row>
    <row r="13" spans="1:18" x14ac:dyDescent="0.25">
      <c r="A13" s="58"/>
      <c r="B13" s="59"/>
      <c r="C13" s="59"/>
      <c r="D13" s="60"/>
    </row>
    <row r="19" spans="1:3" x14ac:dyDescent="0.25">
      <c r="A19" s="30" t="s">
        <v>33</v>
      </c>
      <c r="B19" s="30"/>
      <c r="C19" s="30"/>
    </row>
    <row r="20" spans="1:3" x14ac:dyDescent="0.25">
      <c r="A20" s="30" t="s">
        <v>34</v>
      </c>
      <c r="B20" s="30"/>
      <c r="C20" s="30"/>
    </row>
  </sheetData>
  <mergeCells count="10">
    <mergeCell ref="A1:N1"/>
    <mergeCell ref="A2:N2"/>
    <mergeCell ref="A6:D6"/>
    <mergeCell ref="A7:D13"/>
    <mergeCell ref="A20:C20"/>
    <mergeCell ref="A19:C19"/>
    <mergeCell ref="A4:D4"/>
    <mergeCell ref="G5:R5"/>
    <mergeCell ref="G4:R4"/>
    <mergeCell ref="G6:R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pagar">
                <anchor moveWithCells="1" sizeWithCells="1">
                  <from>
                    <xdr:col>0</xdr:col>
                    <xdr:colOff>104775</xdr:colOff>
                    <xdr:row>6</xdr:row>
                    <xdr:rowOff>161925</xdr:rowOff>
                  </from>
                  <to>
                    <xdr:col>3</xdr:col>
                    <xdr:colOff>457200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rocar_virgulas_por_ponto">
                <anchor moveWithCells="1" sizeWithCells="1">
                  <from>
                    <xdr:col>10</xdr:col>
                    <xdr:colOff>9525</xdr:colOff>
                    <xdr:row>5</xdr:row>
                    <xdr:rowOff>180975</xdr:rowOff>
                  </from>
                  <to>
                    <xdr:col>13</xdr:col>
                    <xdr:colOff>600075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3D7A-63F6-43EB-ADC1-7974328E9580}">
  <sheetPr codeName="Planilha2"/>
  <dimension ref="A1:U34"/>
  <sheetViews>
    <sheetView tabSelected="1" zoomScale="99" workbookViewId="0">
      <selection activeCell="C2" sqref="C2:C1048576"/>
    </sheetView>
  </sheetViews>
  <sheetFormatPr defaultColWidth="12.42578125" defaultRowHeight="15" x14ac:dyDescent="0.25"/>
  <cols>
    <col min="1" max="1" width="12.42578125" style="2"/>
    <col min="2" max="2" width="12.42578125" style="3"/>
    <col min="3" max="3" width="12.42578125" style="4"/>
    <col min="4" max="4" width="12.42578125" style="5"/>
    <col min="5" max="5" width="12.42578125" style="6"/>
    <col min="6" max="6" width="12.42578125" style="5"/>
    <col min="7" max="7" width="12.42578125" style="20"/>
    <col min="8" max="8" width="12.42578125" style="2"/>
    <col min="9" max="9" width="12.42578125" style="3"/>
    <col min="10" max="10" width="12.42578125" style="5"/>
    <col min="17" max="17" width="2.7109375" customWidth="1"/>
    <col min="19" max="19" width="2.5703125" customWidth="1"/>
    <col min="20" max="20" width="1.42578125" customWidth="1"/>
  </cols>
  <sheetData>
    <row r="1" spans="1:21" x14ac:dyDescent="0.2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9" t="s">
        <v>17</v>
      </c>
      <c r="G1" s="19" t="s">
        <v>18</v>
      </c>
      <c r="H1" s="19" t="s">
        <v>19</v>
      </c>
      <c r="I1" s="19" t="s">
        <v>20</v>
      </c>
      <c r="J1" s="19" t="s">
        <v>21</v>
      </c>
      <c r="K1" s="70" t="s">
        <v>9</v>
      </c>
      <c r="L1" s="70"/>
      <c r="M1" s="22">
        <f>COUNTA('Dados inseridos'!B:B) -1</f>
        <v>0</v>
      </c>
    </row>
    <row r="2" spans="1:21" x14ac:dyDescent="0.25">
      <c r="A2" s="7" t="str">
        <f>IF(ISBLANK(B2),"",1)</f>
        <v/>
      </c>
      <c r="D2" s="5" t="str">
        <f t="shared" ref="D2:D34" si="0">IF(ISBLANK(B2),"",B2*B2)</f>
        <v/>
      </c>
      <c r="E2" s="6" t="str">
        <f t="shared" ref="E2:E34" si="1">IF(ISBLANK(C2),"",B2*C2)</f>
        <v/>
      </c>
      <c r="F2" s="5" t="str">
        <f>IF(ISBLANK(B2),"",(B2*$R$6)+$U$6)</f>
        <v/>
      </c>
      <c r="G2" s="20" t="str">
        <f>IF(ISBLANK(B2),"",C2-F2)</f>
        <v/>
      </c>
      <c r="H2" s="20" t="str">
        <f>IF(ISBLANK(B2),"",G2*G2)</f>
        <v/>
      </c>
      <c r="I2" s="3" t="str">
        <f>IF(ISBLANK(B2),"",C2-$M$6)</f>
        <v/>
      </c>
      <c r="J2" s="5" t="str">
        <f>IF(ISBLANK(B2),"",I2*I2)</f>
        <v/>
      </c>
      <c r="K2" s="69" t="s">
        <v>5</v>
      </c>
      <c r="L2" s="69"/>
      <c r="M2" s="23">
        <f>SUM('Dados inseridos'!B:B)</f>
        <v>0</v>
      </c>
    </row>
    <row r="3" spans="1:21" x14ac:dyDescent="0.25">
      <c r="A3" s="7" t="str">
        <f t="shared" ref="A3:A21" si="2">IF(ISBLANK(B3),"",A2+1)</f>
        <v/>
      </c>
      <c r="D3" s="5" t="str">
        <f t="shared" si="0"/>
        <v/>
      </c>
      <c r="E3" s="6" t="str">
        <f t="shared" si="1"/>
        <v/>
      </c>
      <c r="F3" s="5" t="str">
        <f>IF(ISBLANK(B3),"",(B3*$R$6)+$U$6)</f>
        <v/>
      </c>
      <c r="G3" s="20" t="str">
        <f t="shared" ref="G3:G34" si="3">IF(ISBLANK(B3),"",C3-F3)</f>
        <v/>
      </c>
      <c r="H3" s="20" t="str">
        <f t="shared" ref="H3:H20" si="4">IF(ISBLANK(B3),"",G3*G3)</f>
        <v/>
      </c>
      <c r="I3" s="3" t="str">
        <f t="shared" ref="I3:I21" si="5">IF(ISBLANK(B3),"",C3-$M$6)</f>
        <v/>
      </c>
      <c r="J3" s="5" t="str">
        <f t="shared" ref="J3:J21" si="6">IF(ISBLANK(B3),"",I3*I3)</f>
        <v/>
      </c>
      <c r="K3" s="71" t="s">
        <v>6</v>
      </c>
      <c r="L3" s="71"/>
      <c r="M3" s="24">
        <f>SUM('Dados inseridos'!C:C)</f>
        <v>0</v>
      </c>
    </row>
    <row r="4" spans="1:21" x14ac:dyDescent="0.25">
      <c r="A4" s="7" t="str">
        <f t="shared" si="2"/>
        <v/>
      </c>
      <c r="D4" s="5" t="str">
        <f t="shared" si="0"/>
        <v/>
      </c>
      <c r="E4" s="6" t="str">
        <f t="shared" si="1"/>
        <v/>
      </c>
      <c r="F4" s="5" t="str">
        <f t="shared" ref="F4:F34" si="7">IF(ISBLANK(B4),"",(B4*$R$6)+$U$6)</f>
        <v/>
      </c>
      <c r="G4" s="20" t="str">
        <f t="shared" si="3"/>
        <v/>
      </c>
      <c r="H4" s="20" t="str">
        <f t="shared" si="4"/>
        <v/>
      </c>
      <c r="I4" s="3" t="str">
        <f t="shared" si="5"/>
        <v/>
      </c>
      <c r="J4" s="5" t="str">
        <f t="shared" si="6"/>
        <v/>
      </c>
      <c r="K4" s="72" t="s">
        <v>7</v>
      </c>
      <c r="L4" s="72"/>
      <c r="M4" s="25">
        <f>SUM('Dados inseridos'!D:D)</f>
        <v>0</v>
      </c>
    </row>
    <row r="5" spans="1:21" x14ac:dyDescent="0.25">
      <c r="A5" s="7" t="str">
        <f t="shared" si="2"/>
        <v/>
      </c>
      <c r="D5" s="5" t="str">
        <f t="shared" si="0"/>
        <v/>
      </c>
      <c r="E5" s="6" t="str">
        <f t="shared" si="1"/>
        <v/>
      </c>
      <c r="F5" s="5" t="str">
        <f t="shared" si="7"/>
        <v/>
      </c>
      <c r="G5" s="20" t="str">
        <f t="shared" si="3"/>
        <v/>
      </c>
      <c r="H5" s="20" t="str">
        <f t="shared" si="4"/>
        <v/>
      </c>
      <c r="I5" s="3" t="str">
        <f t="shared" si="5"/>
        <v/>
      </c>
      <c r="J5" s="5" t="str">
        <f t="shared" si="6"/>
        <v/>
      </c>
      <c r="K5" s="70" t="s">
        <v>8</v>
      </c>
      <c r="L5" s="70"/>
      <c r="M5" s="22">
        <f>SUM('Dados inseridos'!E:E)</f>
        <v>0</v>
      </c>
      <c r="Q5" s="61" t="s">
        <v>16</v>
      </c>
      <c r="R5" s="62"/>
      <c r="S5" s="62"/>
      <c r="T5" s="62"/>
      <c r="U5" s="63"/>
    </row>
    <row r="6" spans="1:21" x14ac:dyDescent="0.25">
      <c r="A6" s="7" t="str">
        <f t="shared" si="2"/>
        <v/>
      </c>
      <c r="D6" s="5" t="str">
        <f t="shared" si="0"/>
        <v/>
      </c>
      <c r="E6" s="6" t="str">
        <f t="shared" si="1"/>
        <v/>
      </c>
      <c r="F6" s="5" t="str">
        <f t="shared" si="7"/>
        <v/>
      </c>
      <c r="G6" s="20" t="str">
        <f t="shared" si="3"/>
        <v/>
      </c>
      <c r="H6" s="20" t="str">
        <f t="shared" si="4"/>
        <v/>
      </c>
      <c r="I6" s="3" t="str">
        <f t="shared" si="5"/>
        <v/>
      </c>
      <c r="J6" s="5" t="str">
        <f t="shared" si="6"/>
        <v/>
      </c>
      <c r="K6" s="68" t="s">
        <v>22</v>
      </c>
      <c r="L6" s="68"/>
      <c r="M6" s="21">
        <f>IF(M1=0,0,M3/M1)</f>
        <v>0</v>
      </c>
      <c r="Q6" s="14" t="s">
        <v>14</v>
      </c>
      <c r="R6" s="15">
        <f>L20</f>
        <v>0</v>
      </c>
      <c r="S6" s="16" t="s">
        <v>15</v>
      </c>
      <c r="T6" s="17" t="str">
        <f>IF(L30&gt;=0,"+","-")</f>
        <v>+</v>
      </c>
      <c r="U6" s="27">
        <f>L30</f>
        <v>0</v>
      </c>
    </row>
    <row r="7" spans="1:21" x14ac:dyDescent="0.25">
      <c r="A7" s="7" t="str">
        <f t="shared" si="2"/>
        <v/>
      </c>
      <c r="D7" s="5" t="str">
        <f t="shared" si="0"/>
        <v/>
      </c>
      <c r="E7" s="6" t="str">
        <f t="shared" si="1"/>
        <v/>
      </c>
      <c r="F7" s="5" t="str">
        <f t="shared" si="7"/>
        <v/>
      </c>
      <c r="G7" s="20" t="str">
        <f t="shared" si="3"/>
        <v/>
      </c>
      <c r="H7" s="20" t="str">
        <f t="shared" si="4"/>
        <v/>
      </c>
      <c r="I7" s="3" t="str">
        <f t="shared" si="5"/>
        <v/>
      </c>
      <c r="J7" s="5" t="str">
        <f t="shared" si="6"/>
        <v/>
      </c>
      <c r="K7" s="69" t="s">
        <v>23</v>
      </c>
      <c r="L7" s="69"/>
      <c r="M7" s="23">
        <f>SUM(H:H)</f>
        <v>0</v>
      </c>
    </row>
    <row r="8" spans="1:21" x14ac:dyDescent="0.25">
      <c r="A8" s="7" t="str">
        <f t="shared" si="2"/>
        <v/>
      </c>
      <c r="D8" s="5" t="str">
        <f t="shared" si="0"/>
        <v/>
      </c>
      <c r="E8" s="6" t="str">
        <f t="shared" si="1"/>
        <v/>
      </c>
      <c r="F8" s="5" t="str">
        <f t="shared" si="7"/>
        <v/>
      </c>
      <c r="G8" s="20" t="str">
        <f t="shared" si="3"/>
        <v/>
      </c>
      <c r="H8" s="20" t="str">
        <f t="shared" si="4"/>
        <v/>
      </c>
      <c r="I8" s="3" t="str">
        <f t="shared" si="5"/>
        <v/>
      </c>
      <c r="J8" s="5" t="str">
        <f t="shared" si="6"/>
        <v/>
      </c>
      <c r="K8" s="70" t="s">
        <v>24</v>
      </c>
      <c r="L8" s="70"/>
      <c r="M8" s="22">
        <f>SUM(J:J)</f>
        <v>0</v>
      </c>
    </row>
    <row r="9" spans="1:21" x14ac:dyDescent="0.25">
      <c r="A9" s="7" t="str">
        <f t="shared" si="2"/>
        <v/>
      </c>
      <c r="D9" s="5" t="str">
        <f t="shared" si="0"/>
        <v/>
      </c>
      <c r="E9" s="6" t="str">
        <f t="shared" si="1"/>
        <v/>
      </c>
      <c r="F9" s="5" t="str">
        <f t="shared" si="7"/>
        <v/>
      </c>
      <c r="G9" s="20" t="str">
        <f t="shared" si="3"/>
        <v/>
      </c>
      <c r="H9" s="20" t="str">
        <f t="shared" si="4"/>
        <v/>
      </c>
      <c r="I9" s="3" t="str">
        <f t="shared" si="5"/>
        <v/>
      </c>
      <c r="J9" s="5" t="str">
        <f t="shared" si="6"/>
        <v/>
      </c>
      <c r="K9" s="71" t="s">
        <v>25</v>
      </c>
      <c r="L9" s="71"/>
      <c r="M9" s="26">
        <f>IF(M8=0,0,1-(M7/M8))</f>
        <v>0</v>
      </c>
    </row>
    <row r="10" spans="1:21" x14ac:dyDescent="0.25">
      <c r="A10" s="7" t="str">
        <f t="shared" si="2"/>
        <v/>
      </c>
      <c r="D10" s="5" t="str">
        <f t="shared" si="0"/>
        <v/>
      </c>
      <c r="E10" s="6" t="str">
        <f t="shared" si="1"/>
        <v/>
      </c>
      <c r="F10" s="5" t="str">
        <f t="shared" si="7"/>
        <v/>
      </c>
      <c r="G10" s="20" t="str">
        <f t="shared" si="3"/>
        <v/>
      </c>
      <c r="H10" s="20" t="str">
        <f t="shared" si="4"/>
        <v/>
      </c>
      <c r="I10" s="3" t="str">
        <f t="shared" si="5"/>
        <v/>
      </c>
      <c r="J10" s="5" t="str">
        <f t="shared" si="6"/>
        <v/>
      </c>
    </row>
    <row r="11" spans="1:21" x14ac:dyDescent="0.25">
      <c r="A11" s="7" t="str">
        <f t="shared" si="2"/>
        <v/>
      </c>
      <c r="D11" s="5" t="str">
        <f t="shared" si="0"/>
        <v/>
      </c>
      <c r="E11" s="6" t="str">
        <f t="shared" si="1"/>
        <v/>
      </c>
      <c r="F11" s="5" t="str">
        <f t="shared" si="7"/>
        <v/>
      </c>
      <c r="G11" s="20" t="str">
        <f t="shared" si="3"/>
        <v/>
      </c>
      <c r="H11" s="20" t="str">
        <f t="shared" si="4"/>
        <v/>
      </c>
      <c r="I11" s="3" t="str">
        <f t="shared" si="5"/>
        <v/>
      </c>
      <c r="J11" s="5" t="str">
        <f t="shared" si="6"/>
        <v/>
      </c>
    </row>
    <row r="12" spans="1:21" x14ac:dyDescent="0.25">
      <c r="A12" s="7" t="str">
        <f t="shared" si="2"/>
        <v/>
      </c>
      <c r="D12" s="5" t="str">
        <f t="shared" si="0"/>
        <v/>
      </c>
      <c r="E12" s="6" t="str">
        <f t="shared" si="1"/>
        <v/>
      </c>
      <c r="F12" s="5" t="str">
        <f t="shared" si="7"/>
        <v/>
      </c>
      <c r="G12" s="20" t="str">
        <f t="shared" si="3"/>
        <v/>
      </c>
      <c r="H12" s="20" t="str">
        <f t="shared" si="4"/>
        <v/>
      </c>
      <c r="I12" s="3" t="str">
        <f t="shared" si="5"/>
        <v/>
      </c>
      <c r="J12" s="5" t="str">
        <f t="shared" si="6"/>
        <v/>
      </c>
    </row>
    <row r="13" spans="1:21" x14ac:dyDescent="0.25">
      <c r="A13" s="7" t="str">
        <f t="shared" si="2"/>
        <v/>
      </c>
      <c r="D13" s="5" t="str">
        <f t="shared" si="0"/>
        <v/>
      </c>
      <c r="E13" s="6" t="str">
        <f t="shared" si="1"/>
        <v/>
      </c>
      <c r="F13" s="5" t="str">
        <f t="shared" si="7"/>
        <v/>
      </c>
      <c r="G13" s="20" t="str">
        <f t="shared" si="3"/>
        <v/>
      </c>
      <c r="H13" s="20" t="str">
        <f t="shared" si="4"/>
        <v/>
      </c>
      <c r="I13" s="3" t="str">
        <f t="shared" si="5"/>
        <v/>
      </c>
      <c r="J13" s="5" t="str">
        <f t="shared" si="6"/>
        <v/>
      </c>
    </row>
    <row r="14" spans="1:21" x14ac:dyDescent="0.25">
      <c r="A14" s="7" t="str">
        <f t="shared" si="2"/>
        <v/>
      </c>
      <c r="D14" s="5" t="str">
        <f t="shared" si="0"/>
        <v/>
      </c>
      <c r="E14" s="6" t="str">
        <f t="shared" si="1"/>
        <v/>
      </c>
      <c r="F14" s="5" t="str">
        <f t="shared" si="7"/>
        <v/>
      </c>
      <c r="G14" s="20" t="str">
        <f t="shared" si="3"/>
        <v/>
      </c>
      <c r="H14" s="20" t="str">
        <f t="shared" si="4"/>
        <v/>
      </c>
      <c r="I14" s="3" t="str">
        <f t="shared" si="5"/>
        <v/>
      </c>
      <c r="J14" s="5" t="str">
        <f t="shared" si="6"/>
        <v/>
      </c>
      <c r="K14" s="13"/>
    </row>
    <row r="15" spans="1:21" x14ac:dyDescent="0.25">
      <c r="A15" s="7" t="str">
        <f t="shared" si="2"/>
        <v/>
      </c>
      <c r="D15" s="5" t="str">
        <f t="shared" si="0"/>
        <v/>
      </c>
      <c r="E15" s="6" t="str">
        <f t="shared" si="1"/>
        <v/>
      </c>
      <c r="F15" s="5" t="str">
        <f t="shared" si="7"/>
        <v/>
      </c>
      <c r="G15" s="20" t="str">
        <f t="shared" si="3"/>
        <v/>
      </c>
      <c r="H15" s="20" t="str">
        <f t="shared" si="4"/>
        <v/>
      </c>
      <c r="I15" s="3" t="str">
        <f t="shared" si="5"/>
        <v/>
      </c>
      <c r="J15" s="5" t="str">
        <f t="shared" si="6"/>
        <v/>
      </c>
    </row>
    <row r="16" spans="1:21" x14ac:dyDescent="0.25">
      <c r="A16" s="7" t="str">
        <f t="shared" si="2"/>
        <v/>
      </c>
      <c r="D16" s="5" t="str">
        <f t="shared" si="0"/>
        <v/>
      </c>
      <c r="E16" s="6" t="str">
        <f t="shared" si="1"/>
        <v/>
      </c>
      <c r="F16" s="5" t="str">
        <f t="shared" si="7"/>
        <v/>
      </c>
      <c r="G16" s="20" t="str">
        <f t="shared" si="3"/>
        <v/>
      </c>
      <c r="H16" s="20" t="str">
        <f t="shared" si="4"/>
        <v/>
      </c>
      <c r="I16" s="3" t="str">
        <f t="shared" si="5"/>
        <v/>
      </c>
      <c r="J16" s="5" t="str">
        <f t="shared" si="6"/>
        <v/>
      </c>
    </row>
    <row r="17" spans="1:16" ht="15.75" thickBot="1" x14ac:dyDescent="0.3">
      <c r="A17" s="7" t="str">
        <f t="shared" si="2"/>
        <v/>
      </c>
      <c r="D17" s="5" t="str">
        <f t="shared" si="0"/>
        <v/>
      </c>
      <c r="E17" s="6" t="str">
        <f t="shared" si="1"/>
        <v/>
      </c>
      <c r="F17" s="5" t="str">
        <f t="shared" si="7"/>
        <v/>
      </c>
      <c r="G17" s="20" t="str">
        <f t="shared" si="3"/>
        <v/>
      </c>
      <c r="H17" s="20" t="str">
        <f t="shared" si="4"/>
        <v/>
      </c>
      <c r="I17" s="3" t="str">
        <f t="shared" si="5"/>
        <v/>
      </c>
      <c r="J17" s="5" t="str">
        <f t="shared" si="6"/>
        <v/>
      </c>
      <c r="K17" s="64" t="s">
        <v>10</v>
      </c>
      <c r="L17" s="9">
        <f>M1*M5</f>
        <v>0</v>
      </c>
      <c r="M17" s="11" t="s">
        <v>11</v>
      </c>
      <c r="N17" s="8">
        <f>M2*M3</f>
        <v>0</v>
      </c>
      <c r="O17" s="64" t="s">
        <v>12</v>
      </c>
      <c r="P17" s="9">
        <f>L17-N17</f>
        <v>0</v>
      </c>
    </row>
    <row r="18" spans="1:16" ht="15.75" thickTop="1" x14ac:dyDescent="0.25">
      <c r="A18" s="7" t="str">
        <f t="shared" si="2"/>
        <v/>
      </c>
      <c r="D18" s="5" t="str">
        <f t="shared" si="0"/>
        <v/>
      </c>
      <c r="E18" s="6" t="str">
        <f t="shared" si="1"/>
        <v/>
      </c>
      <c r="F18" s="5" t="str">
        <f t="shared" si="7"/>
        <v/>
      </c>
      <c r="G18" s="20" t="str">
        <f t="shared" si="3"/>
        <v/>
      </c>
      <c r="H18" s="20" t="str">
        <f t="shared" si="4"/>
        <v/>
      </c>
      <c r="I18" s="3" t="str">
        <f t="shared" si="5"/>
        <v/>
      </c>
      <c r="J18" s="5" t="str">
        <f t="shared" si="6"/>
        <v/>
      </c>
      <c r="K18" s="65"/>
      <c r="L18" s="10">
        <f>M1*M4</f>
        <v>0</v>
      </c>
      <c r="M18" s="12" t="s">
        <v>11</v>
      </c>
      <c r="N18" s="10">
        <f>M2*M2</f>
        <v>0</v>
      </c>
      <c r="O18" s="64"/>
      <c r="P18" s="10">
        <f>L18-N18</f>
        <v>0</v>
      </c>
    </row>
    <row r="19" spans="1:16" x14ac:dyDescent="0.25">
      <c r="A19" s="7" t="str">
        <f t="shared" si="2"/>
        <v/>
      </c>
      <c r="D19" s="5" t="str">
        <f t="shared" si="0"/>
        <v/>
      </c>
      <c r="E19" s="6" t="str">
        <f t="shared" si="1"/>
        <v/>
      </c>
      <c r="F19" s="5" t="str">
        <f t="shared" si="7"/>
        <v/>
      </c>
      <c r="G19" s="20" t="str">
        <f t="shared" si="3"/>
        <v/>
      </c>
      <c r="H19" s="20" t="str">
        <f t="shared" si="4"/>
        <v/>
      </c>
      <c r="I19" s="3" t="str">
        <f t="shared" si="5"/>
        <v/>
      </c>
      <c r="J19" s="5" t="str">
        <f t="shared" si="6"/>
        <v/>
      </c>
    </row>
    <row r="20" spans="1:16" x14ac:dyDescent="0.25">
      <c r="A20" s="7" t="str">
        <f t="shared" si="2"/>
        <v/>
      </c>
      <c r="D20" s="5" t="str">
        <f t="shared" si="0"/>
        <v/>
      </c>
      <c r="E20" s="6" t="str">
        <f t="shared" si="1"/>
        <v/>
      </c>
      <c r="F20" s="5" t="str">
        <f t="shared" si="7"/>
        <v/>
      </c>
      <c r="G20" s="20" t="str">
        <f t="shared" si="3"/>
        <v/>
      </c>
      <c r="H20" s="20" t="str">
        <f t="shared" si="4"/>
        <v/>
      </c>
      <c r="I20" s="3" t="str">
        <f t="shared" si="5"/>
        <v/>
      </c>
      <c r="J20" s="5" t="str">
        <f t="shared" si="6"/>
        <v/>
      </c>
      <c r="K20" s="66" t="s">
        <v>10</v>
      </c>
      <c r="L20" s="67">
        <f>IF(P18=0,0,P17/P18)</f>
        <v>0</v>
      </c>
    </row>
    <row r="21" spans="1:16" x14ac:dyDescent="0.25">
      <c r="A21" s="7" t="str">
        <f t="shared" si="2"/>
        <v/>
      </c>
      <c r="D21" s="5" t="str">
        <f t="shared" si="0"/>
        <v/>
      </c>
      <c r="E21" s="6" t="str">
        <f t="shared" si="1"/>
        <v/>
      </c>
      <c r="F21" s="5" t="str">
        <f t="shared" si="7"/>
        <v/>
      </c>
      <c r="G21" s="20" t="str">
        <f t="shared" si="3"/>
        <v/>
      </c>
      <c r="I21" s="3" t="str">
        <f t="shared" si="5"/>
        <v/>
      </c>
      <c r="J21" s="5" t="str">
        <f t="shared" si="6"/>
        <v/>
      </c>
      <c r="K21" s="66"/>
      <c r="L21" s="67"/>
    </row>
    <row r="22" spans="1:16" x14ac:dyDescent="0.25">
      <c r="D22" s="5" t="str">
        <f t="shared" si="0"/>
        <v/>
      </c>
      <c r="E22" s="6" t="str">
        <f t="shared" si="1"/>
        <v/>
      </c>
      <c r="F22" s="5" t="str">
        <f t="shared" si="7"/>
        <v/>
      </c>
      <c r="G22" s="20" t="str">
        <f t="shared" si="3"/>
        <v/>
      </c>
    </row>
    <row r="23" spans="1:16" x14ac:dyDescent="0.25">
      <c r="D23" s="5" t="str">
        <f t="shared" si="0"/>
        <v/>
      </c>
      <c r="E23" s="6" t="str">
        <f t="shared" si="1"/>
        <v/>
      </c>
      <c r="F23" s="5" t="str">
        <f t="shared" si="7"/>
        <v/>
      </c>
      <c r="G23" s="20" t="str">
        <f t="shared" si="3"/>
        <v/>
      </c>
    </row>
    <row r="24" spans="1:16" x14ac:dyDescent="0.25">
      <c r="D24" s="5" t="str">
        <f t="shared" si="0"/>
        <v/>
      </c>
      <c r="E24" s="6" t="str">
        <f t="shared" si="1"/>
        <v/>
      </c>
      <c r="F24" s="5" t="str">
        <f t="shared" si="7"/>
        <v/>
      </c>
      <c r="G24" s="20" t="str">
        <f t="shared" si="3"/>
        <v/>
      </c>
    </row>
    <row r="25" spans="1:16" x14ac:dyDescent="0.25">
      <c r="D25" s="5" t="str">
        <f t="shared" si="0"/>
        <v/>
      </c>
      <c r="E25" s="6" t="str">
        <f t="shared" si="1"/>
        <v/>
      </c>
      <c r="F25" s="5" t="str">
        <f t="shared" si="7"/>
        <v/>
      </c>
      <c r="G25" s="20" t="str">
        <f t="shared" si="3"/>
        <v/>
      </c>
    </row>
    <row r="26" spans="1:16" x14ac:dyDescent="0.25">
      <c r="D26" s="5" t="str">
        <f t="shared" si="0"/>
        <v/>
      </c>
      <c r="E26" s="6" t="str">
        <f t="shared" si="1"/>
        <v/>
      </c>
      <c r="F26" s="5" t="str">
        <f t="shared" si="7"/>
        <v/>
      </c>
      <c r="G26" s="20" t="str">
        <f t="shared" si="3"/>
        <v/>
      </c>
    </row>
    <row r="27" spans="1:16" ht="15.75" thickBot="1" x14ac:dyDescent="0.3">
      <c r="D27" s="5" t="str">
        <f t="shared" si="0"/>
        <v/>
      </c>
      <c r="E27" s="6" t="str">
        <f t="shared" si="1"/>
        <v/>
      </c>
      <c r="F27" s="5" t="str">
        <f t="shared" si="7"/>
        <v/>
      </c>
      <c r="G27" s="20" t="str">
        <f t="shared" si="3"/>
        <v/>
      </c>
      <c r="K27" s="64" t="s">
        <v>13</v>
      </c>
      <c r="L27" s="9">
        <f>M3</f>
        <v>0</v>
      </c>
      <c r="M27" s="11" t="s">
        <v>11</v>
      </c>
      <c r="N27" s="8">
        <f>L20*M2</f>
        <v>0</v>
      </c>
      <c r="O27" s="64" t="s">
        <v>12</v>
      </c>
      <c r="P27" s="9">
        <f>L27-N27</f>
        <v>0</v>
      </c>
    </row>
    <row r="28" spans="1:16" ht="15.75" thickTop="1" x14ac:dyDescent="0.25">
      <c r="D28" s="5" t="str">
        <f t="shared" si="0"/>
        <v/>
      </c>
      <c r="E28" s="6" t="str">
        <f t="shared" si="1"/>
        <v/>
      </c>
      <c r="F28" s="5" t="str">
        <f t="shared" si="7"/>
        <v/>
      </c>
      <c r="G28" s="20" t="str">
        <f t="shared" si="3"/>
        <v/>
      </c>
      <c r="K28" s="64"/>
      <c r="L28" s="73">
        <f>M1</f>
        <v>0</v>
      </c>
      <c r="M28" s="74"/>
      <c r="N28" s="75"/>
      <c r="O28" s="64"/>
      <c r="P28" s="10">
        <f>L28</f>
        <v>0</v>
      </c>
    </row>
    <row r="29" spans="1:16" x14ac:dyDescent="0.25">
      <c r="D29" s="5" t="str">
        <f t="shared" si="0"/>
        <v/>
      </c>
      <c r="E29" s="6" t="str">
        <f t="shared" si="1"/>
        <v/>
      </c>
      <c r="F29" s="5" t="str">
        <f t="shared" si="7"/>
        <v/>
      </c>
      <c r="G29" s="20" t="str">
        <f t="shared" si="3"/>
        <v/>
      </c>
    </row>
    <row r="30" spans="1:16" x14ac:dyDescent="0.25">
      <c r="D30" s="5" t="str">
        <f t="shared" si="0"/>
        <v/>
      </c>
      <c r="E30" s="6" t="str">
        <f t="shared" si="1"/>
        <v/>
      </c>
      <c r="F30" s="5" t="str">
        <f t="shared" si="7"/>
        <v/>
      </c>
      <c r="G30" s="20" t="str">
        <f t="shared" si="3"/>
        <v/>
      </c>
      <c r="K30" s="76" t="s">
        <v>13</v>
      </c>
      <c r="L30" s="77">
        <f>IF(P28=0,0,P27/P28)</f>
        <v>0</v>
      </c>
    </row>
    <row r="31" spans="1:16" x14ac:dyDescent="0.25">
      <c r="D31" s="5" t="str">
        <f t="shared" si="0"/>
        <v/>
      </c>
      <c r="E31" s="6" t="str">
        <f t="shared" si="1"/>
        <v/>
      </c>
      <c r="F31" s="5" t="str">
        <f t="shared" si="7"/>
        <v/>
      </c>
      <c r="G31" s="20" t="str">
        <f t="shared" si="3"/>
        <v/>
      </c>
      <c r="K31" s="76"/>
      <c r="L31" s="78"/>
    </row>
    <row r="32" spans="1:16" x14ac:dyDescent="0.25">
      <c r="D32" s="5" t="str">
        <f t="shared" si="0"/>
        <v/>
      </c>
      <c r="E32" s="6" t="str">
        <f t="shared" si="1"/>
        <v/>
      </c>
      <c r="F32" s="5" t="str">
        <f t="shared" si="7"/>
        <v/>
      </c>
      <c r="G32" s="20" t="str">
        <f t="shared" si="3"/>
        <v/>
      </c>
    </row>
    <row r="33" spans="4:7" x14ac:dyDescent="0.25">
      <c r="D33" s="5" t="str">
        <f t="shared" si="0"/>
        <v/>
      </c>
      <c r="E33" s="6" t="str">
        <f t="shared" si="1"/>
        <v/>
      </c>
      <c r="F33" s="5" t="str">
        <f t="shared" si="7"/>
        <v/>
      </c>
      <c r="G33" s="20" t="str">
        <f t="shared" si="3"/>
        <v/>
      </c>
    </row>
    <row r="34" spans="4:7" x14ac:dyDescent="0.25">
      <c r="D34" s="5" t="str">
        <f t="shared" si="0"/>
        <v/>
      </c>
      <c r="E34" s="6" t="str">
        <f t="shared" si="1"/>
        <v/>
      </c>
      <c r="F34" s="5" t="str">
        <f t="shared" si="7"/>
        <v/>
      </c>
      <c r="G34" s="20" t="str">
        <f t="shared" si="3"/>
        <v/>
      </c>
    </row>
  </sheetData>
  <mergeCells count="19">
    <mergeCell ref="K27:K28"/>
    <mergeCell ref="L28:N28"/>
    <mergeCell ref="O27:O28"/>
    <mergeCell ref="K30:K31"/>
    <mergeCell ref="L30:L31"/>
    <mergeCell ref="K1:L1"/>
    <mergeCell ref="K2:L2"/>
    <mergeCell ref="K3:L3"/>
    <mergeCell ref="K4:L4"/>
    <mergeCell ref="K5:L5"/>
    <mergeCell ref="Q5:U5"/>
    <mergeCell ref="K17:K18"/>
    <mergeCell ref="O17:O18"/>
    <mergeCell ref="K20:K21"/>
    <mergeCell ref="L20:L21"/>
    <mergeCell ref="K6:L6"/>
    <mergeCell ref="K7:L7"/>
    <mergeCell ref="K8:L8"/>
    <mergeCell ref="K9:L9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Documentação</vt:lpstr>
      <vt:lpstr>Dados inseridos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dcterms:created xsi:type="dcterms:W3CDTF">2024-04-19T10:42:36Z</dcterms:created>
  <dcterms:modified xsi:type="dcterms:W3CDTF">2024-04-19T17:33:59Z</dcterms:modified>
</cp:coreProperties>
</file>